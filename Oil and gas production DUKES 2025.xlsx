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horengreenford/Documents/Research/Paper 2 - climate tests/"/>
    </mc:Choice>
  </mc:AlternateContent>
  <xr:revisionPtr revIDLastSave="0" documentId="13_ncr:1_{8AE7EA9E-4703-2D45-878E-55291824D20B}" xr6:coauthVersionLast="47" xr6:coauthVersionMax="47" xr10:uidLastSave="{00000000-0000-0000-0000-000000000000}"/>
  <bookViews>
    <workbookView xWindow="0" yWindow="760" windowWidth="30240" windowHeight="18880" activeTab="2" xr2:uid="{D3C20FC9-A708-ED43-A907-8E34612CFED9}"/>
  </bookViews>
  <sheets>
    <sheet name="Production" sheetId="1" r:id="rId1"/>
    <sheet name="Production_PJ" sheetId="3" r:id="rId2"/>
    <sheet name="Emissions_MtCO2" sheetId="5" r:id="rId3"/>
    <sheet name="conversion_factors" sheetId="4" r:id="rId4"/>
    <sheet name="Sourc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B18" i="5"/>
  <c r="C17" i="5"/>
  <c r="B17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C2" i="5"/>
  <c r="B2" i="5"/>
  <c r="B16" i="3"/>
  <c r="C16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C2" i="3"/>
  <c r="B2" i="3"/>
</calcChain>
</file>

<file path=xl/sharedStrings.xml><?xml version="1.0" encoding="utf-8"?>
<sst xmlns="http://schemas.openxmlformats.org/spreadsheetml/2006/main" count="27" uniqueCount="19">
  <si>
    <t>Oil</t>
  </si>
  <si>
    <t>Oil (thousand tonnes)</t>
  </si>
  <si>
    <t>DUKES 2025</t>
  </si>
  <si>
    <t>https://www.gov.uk/government/statistical-data-sets/crude-oil-and-petroleum-production-imports-and-exports#full-publication-update-history</t>
  </si>
  <si>
    <t>https://www.gov.uk/government/statistics/natural-gas-chapter-4-digest-of-united-kingdom-energy-statistics-dukes</t>
  </si>
  <si>
    <t>Crude oil and petroleum: production, imports and exports 1890 to 2024</t>
  </si>
  <si>
    <t>Gas Production Table F.2</t>
  </si>
  <si>
    <t>Gas</t>
  </si>
  <si>
    <t>Total Production</t>
  </si>
  <si>
    <t>Gas (million cubic metres)</t>
  </si>
  <si>
    <t xml:space="preserve"> PJ/Mcm</t>
  </si>
  <si>
    <t>gas</t>
  </si>
  <si>
    <t>oil</t>
  </si>
  <si>
    <t>PJ/kt</t>
  </si>
  <si>
    <t>year</t>
  </si>
  <si>
    <t xml:space="preserve">MtCO2/PJ </t>
  </si>
  <si>
    <t xml:space="preserve"> MtCO2 /PJ</t>
  </si>
  <si>
    <t>Mean last 5 years</t>
  </si>
  <si>
    <t>Proportion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</si>
</sst>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629D-C58C-3B46-8D07-4C343F907B52}">
  <dimension ref="A1:C16"/>
  <sheetViews>
    <sheetView workbookViewId="0">
      <selection activeCell="A2" sqref="A2:A16"/>
    </sheetView>
  </sheetViews>
  <sheetFormatPr baseColWidth="10" defaultRowHeight="16" x14ac:dyDescent="0.2"/>
  <cols>
    <col min="2" max="2" width="18.1640625" customWidth="1"/>
    <col min="3" max="3" width="23.5" customWidth="1"/>
  </cols>
  <sheetData>
    <row r="1" spans="1:3" x14ac:dyDescent="0.2">
      <c r="B1" t="s">
        <v>1</v>
      </c>
      <c r="C1" t="s">
        <v>9</v>
      </c>
    </row>
    <row r="2" spans="1:3" x14ac:dyDescent="0.2">
      <c r="A2">
        <v>2010</v>
      </c>
      <c r="B2">
        <v>62961.61</v>
      </c>
      <c r="C2">
        <v>57862.97</v>
      </c>
    </row>
    <row r="3" spans="1:3" x14ac:dyDescent="0.2">
      <c r="A3">
        <v>2011</v>
      </c>
      <c r="B3">
        <v>51972.43</v>
      </c>
      <c r="C3">
        <v>46299.79</v>
      </c>
    </row>
    <row r="4" spans="1:3" x14ac:dyDescent="0.2">
      <c r="A4">
        <v>2012</v>
      </c>
      <c r="B4">
        <v>44560.81</v>
      </c>
      <c r="C4">
        <v>39597.03</v>
      </c>
    </row>
    <row r="5" spans="1:3" x14ac:dyDescent="0.2">
      <c r="A5">
        <v>2013</v>
      </c>
      <c r="B5">
        <v>41100.800000000003</v>
      </c>
      <c r="C5">
        <v>37308.089999999997</v>
      </c>
    </row>
    <row r="6" spans="1:3" x14ac:dyDescent="0.2">
      <c r="A6">
        <v>2014</v>
      </c>
      <c r="B6">
        <v>40327.75</v>
      </c>
      <c r="C6">
        <v>37679.599999999999</v>
      </c>
    </row>
    <row r="7" spans="1:3" x14ac:dyDescent="0.2">
      <c r="A7">
        <v>2015</v>
      </c>
      <c r="B7">
        <v>45698.12</v>
      </c>
      <c r="C7">
        <v>40466.21</v>
      </c>
    </row>
    <row r="8" spans="1:3" x14ac:dyDescent="0.2">
      <c r="A8">
        <v>2016</v>
      </c>
      <c r="B8">
        <v>47872.07</v>
      </c>
      <c r="C8">
        <v>41652.730000000003</v>
      </c>
    </row>
    <row r="9" spans="1:3" x14ac:dyDescent="0.2">
      <c r="A9">
        <v>2017</v>
      </c>
      <c r="B9">
        <v>47049.29</v>
      </c>
      <c r="C9">
        <v>42100.35</v>
      </c>
    </row>
    <row r="10" spans="1:3" x14ac:dyDescent="0.2">
      <c r="A10">
        <v>2018</v>
      </c>
      <c r="B10">
        <v>51550.720000000001</v>
      </c>
      <c r="C10">
        <v>40736.370000000003</v>
      </c>
    </row>
    <row r="11" spans="1:3" x14ac:dyDescent="0.2">
      <c r="A11">
        <v>2019</v>
      </c>
      <c r="B11">
        <v>52856.18</v>
      </c>
      <c r="C11">
        <v>39386.269999999997</v>
      </c>
    </row>
    <row r="12" spans="1:3" x14ac:dyDescent="0.2">
      <c r="A12">
        <v>2020</v>
      </c>
      <c r="B12">
        <v>49361.5</v>
      </c>
      <c r="C12">
        <v>39432.910000000003</v>
      </c>
    </row>
    <row r="13" spans="1:3" x14ac:dyDescent="0.2">
      <c r="A13">
        <v>2021</v>
      </c>
      <c r="B13">
        <v>41164.75</v>
      </c>
      <c r="C13">
        <v>32569.52</v>
      </c>
    </row>
    <row r="14" spans="1:3" x14ac:dyDescent="0.2">
      <c r="A14">
        <v>2022</v>
      </c>
      <c r="B14">
        <v>38450.199999999997</v>
      </c>
      <c r="C14">
        <v>37737.65</v>
      </c>
    </row>
    <row r="15" spans="1:3" x14ac:dyDescent="0.2">
      <c r="A15">
        <v>2023</v>
      </c>
      <c r="B15">
        <v>33670.160000000003</v>
      </c>
      <c r="C15">
        <v>34055.71</v>
      </c>
    </row>
    <row r="16" spans="1:3" x14ac:dyDescent="0.2">
      <c r="A16">
        <v>2024</v>
      </c>
      <c r="B16">
        <v>30657.8</v>
      </c>
      <c r="C16">
        <v>30830.07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46A1-4224-1847-B4A3-C3954F616EC8}">
  <dimension ref="A1:C16"/>
  <sheetViews>
    <sheetView workbookViewId="0">
      <selection activeCell="A2" sqref="A2:A16"/>
    </sheetView>
  </sheetViews>
  <sheetFormatPr baseColWidth="10" defaultRowHeight="16" x14ac:dyDescent="0.2"/>
  <sheetData>
    <row r="1" spans="1:3" x14ac:dyDescent="0.2">
      <c r="A1" t="s">
        <v>14</v>
      </c>
      <c r="B1" t="s">
        <v>12</v>
      </c>
      <c r="C1" t="s">
        <v>11</v>
      </c>
    </row>
    <row r="2" spans="1:3" x14ac:dyDescent="0.2">
      <c r="A2">
        <v>2010</v>
      </c>
      <c r="B2">
        <f>Production!B2*conversion_factors!$A$2</f>
        <v>2636.0766874800001</v>
      </c>
      <c r="C2">
        <f>Production!C2*conversion_factors!$B$2</f>
        <v>2314.5188000000003</v>
      </c>
    </row>
    <row r="3" spans="1:3" x14ac:dyDescent="0.2">
      <c r="A3">
        <v>2011</v>
      </c>
      <c r="B3">
        <f>Production!B3*conversion_factors!$A$2</f>
        <v>2175.9816992400001</v>
      </c>
      <c r="C3">
        <f>Production!C3*conversion_factors!$B$2</f>
        <v>1851.9916000000001</v>
      </c>
    </row>
    <row r="4" spans="1:3" x14ac:dyDescent="0.2">
      <c r="A4">
        <v>2012</v>
      </c>
      <c r="B4">
        <f>Production!B4*conversion_factors!$A$2</f>
        <v>1865.67199308</v>
      </c>
      <c r="C4">
        <f>Production!C4*conversion_factors!$B$2</f>
        <v>1583.8812</v>
      </c>
    </row>
    <row r="5" spans="1:3" x14ac:dyDescent="0.2">
      <c r="A5">
        <v>2013</v>
      </c>
      <c r="B5">
        <f>Production!B5*conversion_factors!$A$2</f>
        <v>1720.8082944000002</v>
      </c>
      <c r="C5">
        <f>Production!C5*conversion_factors!$B$2</f>
        <v>1492.3235999999999</v>
      </c>
    </row>
    <row r="6" spans="1:3" x14ac:dyDescent="0.2">
      <c r="A6">
        <v>2014</v>
      </c>
      <c r="B6">
        <f>Production!B6*conversion_factors!$A$2</f>
        <v>1688.4422370000002</v>
      </c>
      <c r="C6">
        <f>Production!C6*conversion_factors!$B$2</f>
        <v>1507.184</v>
      </c>
    </row>
    <row r="7" spans="1:3" x14ac:dyDescent="0.2">
      <c r="A7">
        <v>2015</v>
      </c>
      <c r="B7">
        <f>Production!B7*conversion_factors!$A$2</f>
        <v>1913.2888881600002</v>
      </c>
      <c r="C7">
        <f>Production!C7*conversion_factors!$B$2</f>
        <v>1618.6484</v>
      </c>
    </row>
    <row r="8" spans="1:3" x14ac:dyDescent="0.2">
      <c r="A8">
        <v>2016</v>
      </c>
      <c r="B8">
        <f>Production!B8*conversion_factors!$A$2</f>
        <v>2004.3078267600001</v>
      </c>
      <c r="C8">
        <f>Production!C8*conversion_factors!$B$2</f>
        <v>1666.1092000000001</v>
      </c>
    </row>
    <row r="9" spans="1:3" x14ac:dyDescent="0.2">
      <c r="A9">
        <v>2017</v>
      </c>
      <c r="B9">
        <f>Production!B9*conversion_factors!$A$2</f>
        <v>1969.85967372</v>
      </c>
      <c r="C9">
        <f>Production!C9*conversion_factors!$B$2</f>
        <v>1684.0139999999999</v>
      </c>
    </row>
    <row r="10" spans="1:3" x14ac:dyDescent="0.2">
      <c r="A10">
        <v>2018</v>
      </c>
      <c r="B10">
        <f>Production!B10*conversion_factors!$A$2</f>
        <v>2158.3255449600001</v>
      </c>
      <c r="C10">
        <f>Production!C10*conversion_factors!$B$2</f>
        <v>1629.4548000000002</v>
      </c>
    </row>
    <row r="11" spans="1:3" x14ac:dyDescent="0.2">
      <c r="A11">
        <v>2019</v>
      </c>
      <c r="B11">
        <f>Production!B11*conversion_factors!$A$2</f>
        <v>2212.9825442400002</v>
      </c>
      <c r="C11">
        <f>Production!C11*conversion_factors!$B$2</f>
        <v>1575.4507999999998</v>
      </c>
    </row>
    <row r="12" spans="1:3" x14ac:dyDescent="0.2">
      <c r="A12">
        <v>2020</v>
      </c>
      <c r="B12">
        <f>Production!B12*conversion_factors!$A$2</f>
        <v>2066.6672820000003</v>
      </c>
      <c r="C12">
        <f>Production!C12*conversion_factors!$B$2</f>
        <v>1577.3164000000002</v>
      </c>
    </row>
    <row r="13" spans="1:3" x14ac:dyDescent="0.2">
      <c r="A13">
        <v>2021</v>
      </c>
      <c r="B13">
        <f>Production!B13*conversion_factors!$A$2</f>
        <v>1723.4857530000002</v>
      </c>
      <c r="C13">
        <f>Production!C13*conversion_factors!$B$2</f>
        <v>1302.7808</v>
      </c>
    </row>
    <row r="14" spans="1:3" x14ac:dyDescent="0.2">
      <c r="A14">
        <v>2022</v>
      </c>
      <c r="B14">
        <f>Production!B14*conversion_factors!$A$2</f>
        <v>1609.8329736000001</v>
      </c>
      <c r="C14">
        <f>Production!C14*conversion_factors!$B$2</f>
        <v>1509.5060000000001</v>
      </c>
    </row>
    <row r="15" spans="1:3" x14ac:dyDescent="0.2">
      <c r="A15">
        <v>2023</v>
      </c>
      <c r="B15">
        <f>Production!B15*conversion_factors!$A$2</f>
        <v>1409.7022588800003</v>
      </c>
      <c r="C15">
        <f>Production!C15*conversion_factors!$B$2</f>
        <v>1362.2284</v>
      </c>
    </row>
    <row r="16" spans="1:3" x14ac:dyDescent="0.2">
      <c r="A16">
        <v>2024</v>
      </c>
      <c r="B16">
        <f>Production!B16*conversion_factors!$A$2</f>
        <v>1283.5807704000001</v>
      </c>
      <c r="C16">
        <f>Production!C16*conversion_factors!$B$2</f>
        <v>1233.2028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9FC-539A-3444-80E7-F7443B846A17}">
  <dimension ref="A1:C18"/>
  <sheetViews>
    <sheetView tabSelected="1" workbookViewId="0">
      <selection activeCell="F11" sqref="F11"/>
    </sheetView>
  </sheetViews>
  <sheetFormatPr baseColWidth="10" defaultRowHeight="16" x14ac:dyDescent="0.2"/>
  <cols>
    <col min="1" max="1" width="15" bestFit="1" customWidth="1"/>
    <col min="2" max="3" width="14.6640625" style="1" bestFit="1" customWidth="1"/>
  </cols>
  <sheetData>
    <row r="1" spans="1:3" x14ac:dyDescent="0.2">
      <c r="A1" s="4" t="s">
        <v>14</v>
      </c>
      <c r="B1" s="1" t="s">
        <v>12</v>
      </c>
      <c r="C1" s="1" t="s">
        <v>11</v>
      </c>
    </row>
    <row r="2" spans="1:3" x14ac:dyDescent="0.2">
      <c r="A2">
        <v>2010</v>
      </c>
      <c r="B2" s="2">
        <f>Production_PJ!B2*conversion_factors!A$6</f>
        <v>193.22442119228401</v>
      </c>
      <c r="C2" s="2">
        <f>Production_PJ!C2*conversion_factors!B$6</f>
        <v>116.88319940000002</v>
      </c>
    </row>
    <row r="3" spans="1:3" x14ac:dyDescent="0.2">
      <c r="A3">
        <v>2011</v>
      </c>
      <c r="B3" s="2">
        <f>Production_PJ!B3*conversion_factors!A$6</f>
        <v>159.499458554292</v>
      </c>
      <c r="C3" s="2">
        <f>Production_PJ!C3*conversion_factors!B$6</f>
        <v>93.525575800000013</v>
      </c>
    </row>
    <row r="4" spans="1:3" x14ac:dyDescent="0.2">
      <c r="A4">
        <v>2012</v>
      </c>
      <c r="B4" s="2">
        <f>Production_PJ!B4*conversion_factors!A$6</f>
        <v>136.753757092764</v>
      </c>
      <c r="C4" s="2">
        <f>Production_PJ!C4*conversion_factors!B$6</f>
        <v>79.986000600000011</v>
      </c>
    </row>
    <row r="5" spans="1:3" x14ac:dyDescent="0.2">
      <c r="A5">
        <v>2013</v>
      </c>
      <c r="B5" s="2">
        <f>Production_PJ!B5*conversion_factors!A$6</f>
        <v>126.13524797952003</v>
      </c>
      <c r="C5" s="2">
        <f>Production_PJ!C5*conversion_factors!B$6</f>
        <v>75.362341799999996</v>
      </c>
    </row>
    <row r="6" spans="1:3" x14ac:dyDescent="0.2">
      <c r="A6">
        <v>2014</v>
      </c>
      <c r="B6" s="2">
        <f>Production_PJ!B6*conversion_factors!A$6</f>
        <v>123.76281597210003</v>
      </c>
      <c r="C6" s="2">
        <f>Production_PJ!C6*conversion_factors!B$6</f>
        <v>76.112791999999999</v>
      </c>
    </row>
    <row r="7" spans="1:3" x14ac:dyDescent="0.2">
      <c r="A7">
        <v>2015</v>
      </c>
      <c r="B7" s="2">
        <f>Production_PJ!B7*conversion_factors!A$6</f>
        <v>140.24407550212803</v>
      </c>
      <c r="C7" s="2">
        <f>Production_PJ!C7*conversion_factors!B$6</f>
        <v>81.741744200000014</v>
      </c>
    </row>
    <row r="8" spans="1:3" x14ac:dyDescent="0.2">
      <c r="A8">
        <v>2016</v>
      </c>
      <c r="B8" s="2">
        <f>Production_PJ!B8*conversion_factors!A$6</f>
        <v>146.91576370150801</v>
      </c>
      <c r="C8" s="2">
        <f>Production_PJ!C8*conversion_factors!B$6</f>
        <v>84.138514600000008</v>
      </c>
    </row>
    <row r="9" spans="1:3" x14ac:dyDescent="0.2">
      <c r="A9">
        <v>2017</v>
      </c>
      <c r="B9" s="2">
        <f>Production_PJ!B9*conversion_factors!A$6</f>
        <v>144.39071408367602</v>
      </c>
      <c r="C9" s="2">
        <f>Production_PJ!C9*conversion_factors!B$6</f>
        <v>85.042707000000007</v>
      </c>
    </row>
    <row r="10" spans="1:3" x14ac:dyDescent="0.2">
      <c r="A10">
        <v>2018</v>
      </c>
      <c r="B10" s="2">
        <f>Production_PJ!B10*conversion_factors!A$6</f>
        <v>158.20526244556802</v>
      </c>
      <c r="C10" s="2">
        <f>Production_PJ!C10*conversion_factors!B$6</f>
        <v>82.287467400000011</v>
      </c>
    </row>
    <row r="11" spans="1:3" x14ac:dyDescent="0.2">
      <c r="A11">
        <v>2019</v>
      </c>
      <c r="B11" s="2">
        <f>Production_PJ!B11*conversion_factors!A$6</f>
        <v>162.21162049279201</v>
      </c>
      <c r="C11" s="2">
        <f>Production_PJ!C11*conversion_factors!B$6</f>
        <v>79.560265399999992</v>
      </c>
    </row>
    <row r="12" spans="1:3" x14ac:dyDescent="0.2">
      <c r="A12">
        <v>2020</v>
      </c>
      <c r="B12" s="2">
        <f>Production_PJ!B12*conversion_factors!A$6</f>
        <v>151.48671177060004</v>
      </c>
      <c r="C12" s="2">
        <f>Production_PJ!C12*conversion_factors!B$6</f>
        <v>79.654478200000014</v>
      </c>
    </row>
    <row r="13" spans="1:3" x14ac:dyDescent="0.2">
      <c r="A13">
        <v>2021</v>
      </c>
      <c r="B13" s="2">
        <f>Production_PJ!B13*conversion_factors!A$6</f>
        <v>126.33150569490002</v>
      </c>
      <c r="C13" s="2">
        <f>Production_PJ!C13*conversion_factors!B$6</f>
        <v>65.790430400000005</v>
      </c>
    </row>
    <row r="14" spans="1:3" x14ac:dyDescent="0.2">
      <c r="A14">
        <v>2022</v>
      </c>
      <c r="B14" s="2">
        <f>Production_PJ!B14*conversion_factors!A$6</f>
        <v>118.00075696488001</v>
      </c>
      <c r="C14" s="2">
        <f>Production_PJ!C14*conversion_factors!B$6</f>
        <v>76.230053000000012</v>
      </c>
    </row>
    <row r="15" spans="1:3" x14ac:dyDescent="0.2">
      <c r="A15">
        <v>2023</v>
      </c>
      <c r="B15" s="2">
        <f>Production_PJ!B15*conversion_factors!A$6</f>
        <v>103.33117557590403</v>
      </c>
      <c r="C15" s="2">
        <f>Production_PJ!C15*conversion_factors!B$6</f>
        <v>68.792534200000006</v>
      </c>
    </row>
    <row r="16" spans="1:3" x14ac:dyDescent="0.2">
      <c r="A16">
        <v>2024</v>
      </c>
      <c r="B16" s="2">
        <f>Production_PJ!B16*conversion_factors!A$6</f>
        <v>94.086470470320009</v>
      </c>
      <c r="C16" s="2">
        <f>Production_PJ!C16*conversion_factors!B$6</f>
        <v>62.276741400000006</v>
      </c>
    </row>
    <row r="17" spans="1:3" x14ac:dyDescent="0.2">
      <c r="A17" t="s">
        <v>17</v>
      </c>
      <c r="B17" s="2">
        <f>AVERAGE(B12:B16)</f>
        <v>118.64732409532083</v>
      </c>
      <c r="C17" s="2">
        <f>AVERAGE(C12:C16)</f>
        <v>70.548847440000003</v>
      </c>
    </row>
    <row r="18" spans="1:3" x14ac:dyDescent="0.2">
      <c r="A18" t="s">
        <v>18</v>
      </c>
      <c r="B18" s="3">
        <f>B17/($B17+$C17)</f>
        <v>0.62711271128005186</v>
      </c>
      <c r="C18" s="3">
        <f>C17/($B17+$C17)</f>
        <v>0.37288728871994808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18E7-7A1D-ED47-855A-78294DA98C7E}">
  <dimension ref="A1:B7"/>
  <sheetViews>
    <sheetView workbookViewId="0">
      <selection activeCell="A7" sqref="A7"/>
    </sheetView>
  </sheetViews>
  <sheetFormatPr baseColWidth="10" defaultRowHeight="16" x14ac:dyDescent="0.2"/>
  <cols>
    <col min="1" max="1" width="14.83203125" bestFit="1" customWidth="1"/>
    <col min="2" max="2" width="12.33203125" bestFit="1" customWidth="1"/>
  </cols>
  <sheetData>
    <row r="1" spans="1:2" x14ac:dyDescent="0.2">
      <c r="A1" t="s">
        <v>12</v>
      </c>
      <c r="B1" t="s">
        <v>11</v>
      </c>
    </row>
    <row r="2" spans="1:2" x14ac:dyDescent="0.2">
      <c r="A2">
        <v>4.1868000000000002E-2</v>
      </c>
      <c r="B2">
        <v>0.04</v>
      </c>
    </row>
    <row r="3" spans="1:2" x14ac:dyDescent="0.2">
      <c r="A3" t="s">
        <v>13</v>
      </c>
      <c r="B3" t="s">
        <v>10</v>
      </c>
    </row>
    <row r="5" spans="1:2" x14ac:dyDescent="0.2">
      <c r="A5" t="s">
        <v>0</v>
      </c>
      <c r="B5" t="s">
        <v>7</v>
      </c>
    </row>
    <row r="6" spans="1:2" x14ac:dyDescent="0.2">
      <c r="A6">
        <v>7.3300000000000004E-2</v>
      </c>
      <c r="B6">
        <v>5.0500000000000003E-2</v>
      </c>
    </row>
    <row r="7" spans="1:2" x14ac:dyDescent="0.2">
      <c r="A7" t="s">
        <v>15</v>
      </c>
      <c r="B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DF03-32DF-8F4B-9B5D-C5A2B39A4B07}">
  <dimension ref="A1:D3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8</v>
      </c>
    </row>
    <row r="2" spans="1:4" x14ac:dyDescent="0.2">
      <c r="A2" t="s">
        <v>0</v>
      </c>
      <c r="B2" t="s">
        <v>2</v>
      </c>
      <c r="C2" t="s">
        <v>5</v>
      </c>
      <c r="D2" t="s">
        <v>3</v>
      </c>
    </row>
    <row r="3" spans="1:4" x14ac:dyDescent="0.2">
      <c r="A3" t="s">
        <v>7</v>
      </c>
      <c r="B3" t="s">
        <v>2</v>
      </c>
      <c r="C3" t="s">
        <v>6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Production_PJ</vt:lpstr>
      <vt:lpstr>Emissions_MtCO2</vt:lpstr>
      <vt:lpstr>conversion_factors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Horen Greenford</dc:creator>
  <cp:lastModifiedBy>Daniel Horen Greenford</cp:lastModifiedBy>
  <dcterms:created xsi:type="dcterms:W3CDTF">2026-02-24T16:38:19Z</dcterms:created>
  <dcterms:modified xsi:type="dcterms:W3CDTF">2026-04-02T00:29:45Z</dcterms:modified>
</cp:coreProperties>
</file>