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horengreenford/Documents/Research/Paper 2 - climate tests/"/>
    </mc:Choice>
  </mc:AlternateContent>
  <xr:revisionPtr revIDLastSave="0" documentId="13_ncr:1_{B223285D-52C0-8048-802E-097D831F9ECD}" xr6:coauthVersionLast="47" xr6:coauthVersionMax="47" xr10:uidLastSave="{00000000-0000-0000-0000-000000000000}"/>
  <bookViews>
    <workbookView xWindow="0" yWindow="760" windowWidth="30240" windowHeight="18880" activeTab="4" xr2:uid="{0ADF1639-841D-434D-A4B2-DAF55A531F4D}"/>
  </bookViews>
  <sheets>
    <sheet name="oil" sheetId="1" r:id="rId1"/>
    <sheet name="gas" sheetId="4" r:id="rId2"/>
    <sheet name="oil_emissions" sheetId="6" r:id="rId3"/>
    <sheet name="gas_emissions" sheetId="7" r:id="rId4"/>
    <sheet name="emissions_totals" sheetId="10" r:id="rId5"/>
    <sheet name="fields_of_interest" sheetId="2" r:id="rId6"/>
    <sheet name="foi_oil_emissions" sheetId="8" r:id="rId7"/>
    <sheet name="foi_gas_emissions" sheetId="9" r:id="rId8"/>
    <sheet name="test_subjects" sheetId="3" r:id="rId9"/>
    <sheet name="emissions_factor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0" l="1"/>
  <c r="D3" i="10"/>
  <c r="B3" i="10"/>
  <c r="C2" i="10"/>
  <c r="D2" i="10"/>
  <c r="B2" i="10"/>
  <c r="K4" i="2"/>
  <c r="L4" i="2"/>
  <c r="M4" i="2"/>
  <c r="N4" i="2"/>
  <c r="K5" i="2"/>
  <c r="L5" i="2"/>
  <c r="M5" i="2"/>
  <c r="N5" i="2"/>
  <c r="K6" i="2"/>
  <c r="L6" i="2"/>
  <c r="M6" i="2"/>
  <c r="N6" i="2"/>
  <c r="N3" i="2"/>
  <c r="M3" i="2"/>
  <c r="L3" i="2"/>
  <c r="K3" i="2"/>
  <c r="B3" i="7"/>
  <c r="C3" i="7"/>
  <c r="D3" i="7"/>
  <c r="B4" i="7"/>
  <c r="C4" i="7"/>
  <c r="D4" i="7"/>
  <c r="B5" i="7"/>
  <c r="C5" i="7"/>
  <c r="D5" i="7"/>
  <c r="B6" i="7"/>
  <c r="C6" i="7"/>
  <c r="D6" i="7"/>
  <c r="C2" i="7"/>
  <c r="D2" i="7"/>
  <c r="B2" i="7"/>
  <c r="B3" i="6"/>
  <c r="C3" i="6"/>
  <c r="D3" i="6"/>
  <c r="B4" i="6"/>
  <c r="C4" i="6"/>
  <c r="D4" i="6"/>
  <c r="B5" i="6"/>
  <c r="C5" i="6"/>
  <c r="D5" i="6"/>
  <c r="B6" i="6"/>
  <c r="C6" i="6"/>
  <c r="D6" i="6"/>
  <c r="C2" i="6"/>
  <c r="D2" i="6"/>
  <c r="B2" i="6"/>
</calcChain>
</file>

<file path=xl/sharedStrings.xml><?xml version="1.0" encoding="utf-8"?>
<sst xmlns="http://schemas.openxmlformats.org/spreadsheetml/2006/main" count="262" uniqueCount="39">
  <si>
    <t>Producing fields</t>
  </si>
  <si>
    <t>Proposed new developments</t>
  </si>
  <si>
    <t>Unlicensed marginal discoveries</t>
  </si>
  <si>
    <t>Licensed marginal discoveries</t>
  </si>
  <si>
    <t>Reserves</t>
  </si>
  <si>
    <t>Low</t>
  </si>
  <si>
    <t>Med</t>
  </si>
  <si>
    <t>High</t>
  </si>
  <si>
    <t>P50</t>
  </si>
  <si>
    <t>P10</t>
  </si>
  <si>
    <t>Oil (mmboe)</t>
  </si>
  <si>
    <t>Gas (mmboe)</t>
  </si>
  <si>
    <t>Oil (MtCO2)</t>
  </si>
  <si>
    <t>Gas (MtCO2)</t>
  </si>
  <si>
    <t>Rosebank (Phase 1) </t>
  </si>
  <si>
    <t>Rosebank (Phase 2)</t>
  </si>
  <si>
    <t>Field_name</t>
  </si>
  <si>
    <t>category</t>
  </si>
  <si>
    <t>"Reserves", "Contingent resources in proposed new developments"</t>
  </si>
  <si>
    <t>"Contingent resources in proposed new developments"</t>
  </si>
  <si>
    <t>"Contingent resources in producing fields", "Contingent resources in proposed new developments"</t>
  </si>
  <si>
    <t>Scenario_1</t>
  </si>
  <si>
    <t>Scenario_2</t>
  </si>
  <si>
    <t>Scenario_3</t>
  </si>
  <si>
    <t>Scenario_4</t>
  </si>
  <si>
    <t>factor</t>
  </si>
  <si>
    <t>oil</t>
  </si>
  <si>
    <t>gas</t>
  </si>
  <si>
    <t>Jackdaw</t>
  </si>
  <si>
    <t>Cambo</t>
  </si>
  <si>
    <t>Rosebank (Phase 2) </t>
  </si>
  <si>
    <t>Rosebank (Phase 1)</t>
  </si>
  <si>
    <t>Scenario_5</t>
  </si>
  <si>
    <t>Scenario_6</t>
  </si>
  <si>
    <t>Scenario_7</t>
  </si>
  <si>
    <t>Scenario_8</t>
  </si>
  <si>
    <t>Total (mmboe)</t>
  </si>
  <si>
    <t>Total (MtCO2)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</si>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</sst>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FF1E-8799-3F43-AC97-AAA1025127A2}">
  <dimension ref="A1:D6"/>
  <sheetViews>
    <sheetView zoomScale="132" zoomScaleNormal="132" workbookViewId="0">
      <selection activeCell="C2" sqref="C2"/>
    </sheetView>
  </sheetViews>
  <sheetFormatPr baseColWidth="10" defaultRowHeight="16" x14ac:dyDescent="0.2"/>
  <cols>
    <col min="1" max="1" width="28.5" customWidth="1"/>
    <col min="2" max="4" width="10.83203125" style="2"/>
    <col min="6" max="6" width="27.5" bestFit="1" customWidth="1"/>
  </cols>
  <sheetData>
    <row r="1" spans="1:4" x14ac:dyDescent="0.2">
      <c r="A1" t="s">
        <v>17</v>
      </c>
      <c r="B1" s="3" t="s">
        <v>5</v>
      </c>
      <c r="C1" s="3" t="s">
        <v>6</v>
      </c>
      <c r="D1" s="3" t="s">
        <v>7</v>
      </c>
    </row>
    <row r="2" spans="1:4" x14ac:dyDescent="0.2">
      <c r="A2" t="s">
        <v>4</v>
      </c>
      <c r="B2" s="2">
        <v>171</v>
      </c>
      <c r="C2" s="2">
        <v>261</v>
      </c>
      <c r="D2" s="2">
        <v>319</v>
      </c>
    </row>
    <row r="3" spans="1:4" x14ac:dyDescent="0.2">
      <c r="A3" t="s">
        <v>0</v>
      </c>
      <c r="B3" s="2">
        <v>102</v>
      </c>
      <c r="C3" s="2">
        <v>130</v>
      </c>
      <c r="D3" s="2">
        <v>172</v>
      </c>
    </row>
    <row r="4" spans="1:4" x14ac:dyDescent="0.2">
      <c r="A4" t="s">
        <v>1</v>
      </c>
      <c r="B4" s="2">
        <v>140</v>
      </c>
      <c r="C4" s="2">
        <v>173</v>
      </c>
      <c r="D4" s="2">
        <v>200</v>
      </c>
    </row>
    <row r="5" spans="1:4" x14ac:dyDescent="0.2">
      <c r="A5" t="s">
        <v>3</v>
      </c>
      <c r="B5" s="2">
        <v>44</v>
      </c>
      <c r="C5" s="2">
        <v>111</v>
      </c>
      <c r="D5" s="2">
        <v>247</v>
      </c>
    </row>
    <row r="6" spans="1:4" x14ac:dyDescent="0.2">
      <c r="A6" t="s">
        <v>2</v>
      </c>
      <c r="B6" s="2">
        <v>56</v>
      </c>
      <c r="C6" s="2">
        <v>156</v>
      </c>
      <c r="D6" s="2">
        <v>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A27B-F41A-AE41-BF6C-357A2C3ACAD9}">
  <dimension ref="A1:D6"/>
  <sheetViews>
    <sheetView workbookViewId="0"/>
  </sheetViews>
  <sheetFormatPr baseColWidth="10" defaultRowHeight="16" x14ac:dyDescent="0.2"/>
  <cols>
    <col min="1" max="1" width="26.5" customWidth="1"/>
  </cols>
  <sheetData>
    <row r="1" spans="1:4" x14ac:dyDescent="0.2">
      <c r="A1" t="s">
        <v>17</v>
      </c>
      <c r="B1" s="3" t="s">
        <v>5</v>
      </c>
      <c r="C1" s="3" t="s">
        <v>6</v>
      </c>
      <c r="D1" s="3" t="s">
        <v>7</v>
      </c>
    </row>
    <row r="2" spans="1:4" x14ac:dyDescent="0.2">
      <c r="A2" t="s">
        <v>4</v>
      </c>
      <c r="B2" s="2">
        <v>103</v>
      </c>
      <c r="C2" s="2">
        <v>148</v>
      </c>
      <c r="D2" s="2">
        <v>193</v>
      </c>
    </row>
    <row r="3" spans="1:4" x14ac:dyDescent="0.2">
      <c r="A3" t="s">
        <v>0</v>
      </c>
      <c r="B3" s="2">
        <v>35</v>
      </c>
      <c r="C3" s="2">
        <v>62</v>
      </c>
      <c r="D3" s="2">
        <v>77</v>
      </c>
    </row>
    <row r="4" spans="1:4" x14ac:dyDescent="0.2">
      <c r="A4" t="s">
        <v>1</v>
      </c>
      <c r="B4" s="2">
        <v>19</v>
      </c>
      <c r="C4" s="2">
        <v>28</v>
      </c>
      <c r="D4" s="2">
        <v>38</v>
      </c>
    </row>
    <row r="5" spans="1:4" x14ac:dyDescent="0.2">
      <c r="A5" t="s">
        <v>3</v>
      </c>
      <c r="B5" s="2">
        <v>43</v>
      </c>
      <c r="C5" s="2">
        <v>95</v>
      </c>
      <c r="D5" s="2">
        <v>175</v>
      </c>
    </row>
    <row r="6" spans="1:4" x14ac:dyDescent="0.2">
      <c r="A6" t="s">
        <v>2</v>
      </c>
      <c r="B6" s="2">
        <v>65</v>
      </c>
      <c r="C6" s="2">
        <v>139</v>
      </c>
      <c r="D6" s="2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48E2-6A93-D144-8659-2BDAEF503F41}">
  <dimension ref="A1:D6"/>
  <sheetViews>
    <sheetView workbookViewId="0">
      <selection activeCell="B4" sqref="B4"/>
    </sheetView>
  </sheetViews>
  <sheetFormatPr baseColWidth="10" defaultRowHeight="16" x14ac:dyDescent="0.2"/>
  <cols>
    <col min="1" max="1" width="10.83203125" customWidth="1"/>
  </cols>
  <sheetData>
    <row r="1" spans="1:4" x14ac:dyDescent="0.2">
      <c r="A1" t="s">
        <v>17</v>
      </c>
      <c r="B1" s="3" t="s">
        <v>5</v>
      </c>
      <c r="C1" s="3" t="s">
        <v>6</v>
      </c>
      <c r="D1" s="3" t="s">
        <v>7</v>
      </c>
    </row>
    <row r="2" spans="1:4" x14ac:dyDescent="0.2">
      <c r="A2" t="s">
        <v>4</v>
      </c>
      <c r="B2" s="2">
        <f>oil!B2*3.22</f>
        <v>550.62</v>
      </c>
      <c r="C2" s="2">
        <f>oil!C2*3.22</f>
        <v>840.42000000000007</v>
      </c>
      <c r="D2" s="2">
        <f>oil!D2*3.22</f>
        <v>1027.18</v>
      </c>
    </row>
    <row r="3" spans="1:4" x14ac:dyDescent="0.2">
      <c r="A3" t="s">
        <v>0</v>
      </c>
      <c r="B3" s="2">
        <f>oil!B3*3.22</f>
        <v>328.44</v>
      </c>
      <c r="C3" s="2">
        <f>oil!C3*3.22</f>
        <v>418.6</v>
      </c>
      <c r="D3" s="2">
        <f>oil!D3*3.22</f>
        <v>553.84</v>
      </c>
    </row>
    <row r="4" spans="1:4" x14ac:dyDescent="0.2">
      <c r="A4" t="s">
        <v>1</v>
      </c>
      <c r="B4" s="2">
        <f>oil!B4*3.22</f>
        <v>450.8</v>
      </c>
      <c r="C4" s="2">
        <f>oil!C4*3.22</f>
        <v>557.06000000000006</v>
      </c>
      <c r="D4" s="2">
        <f>oil!D4*3.22</f>
        <v>644</v>
      </c>
    </row>
    <row r="5" spans="1:4" x14ac:dyDescent="0.2">
      <c r="A5" t="s">
        <v>3</v>
      </c>
      <c r="B5" s="2">
        <f>oil!B5*3.22</f>
        <v>141.68</v>
      </c>
      <c r="C5" s="2">
        <f>oil!C5*3.22</f>
        <v>357.42</v>
      </c>
      <c r="D5" s="2">
        <f>oil!D5*3.22</f>
        <v>795.34</v>
      </c>
    </row>
    <row r="6" spans="1:4" x14ac:dyDescent="0.2">
      <c r="A6" t="s">
        <v>2</v>
      </c>
      <c r="B6" s="2">
        <f>oil!B6*3.22</f>
        <v>180.32000000000002</v>
      </c>
      <c r="C6" s="2">
        <f>oil!C6*3.22</f>
        <v>502.32000000000005</v>
      </c>
      <c r="D6" s="2">
        <f>oil!D6*3.22</f>
        <v>994.98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4014-2FDA-2049-A155-86799DC23486}">
  <dimension ref="A1:D7"/>
  <sheetViews>
    <sheetView workbookViewId="0"/>
  </sheetViews>
  <sheetFormatPr baseColWidth="10" defaultRowHeight="16" x14ac:dyDescent="0.2"/>
  <sheetData>
    <row r="1" spans="1:4" x14ac:dyDescent="0.2">
      <c r="A1" t="s">
        <v>17</v>
      </c>
      <c r="B1" s="3" t="s">
        <v>5</v>
      </c>
      <c r="C1" s="3" t="s">
        <v>6</v>
      </c>
      <c r="D1" s="3" t="s">
        <v>7</v>
      </c>
    </row>
    <row r="2" spans="1:4" x14ac:dyDescent="0.2">
      <c r="A2" t="s">
        <v>4</v>
      </c>
      <c r="B2" s="2">
        <f>gas!B2*2.0414</f>
        <v>210.26419999999999</v>
      </c>
      <c r="C2" s="2">
        <f>gas!C2*2.0414</f>
        <v>302.12719999999996</v>
      </c>
      <c r="D2" s="2">
        <f>gas!D2*2.0414</f>
        <v>393.99019999999996</v>
      </c>
    </row>
    <row r="3" spans="1:4" x14ac:dyDescent="0.2">
      <c r="A3" t="s">
        <v>0</v>
      </c>
      <c r="B3" s="2">
        <f>gas!B3*2.0414</f>
        <v>71.448999999999998</v>
      </c>
      <c r="C3" s="2">
        <f>gas!C3*2.0414</f>
        <v>126.56679999999999</v>
      </c>
      <c r="D3" s="2">
        <f>gas!D3*2.0414</f>
        <v>157.18779999999998</v>
      </c>
    </row>
    <row r="4" spans="1:4" x14ac:dyDescent="0.2">
      <c r="A4" t="s">
        <v>1</v>
      </c>
      <c r="B4" s="2">
        <f>gas!B4*2.0414</f>
        <v>38.7866</v>
      </c>
      <c r="C4" s="2">
        <f>gas!C4*2.0414</f>
        <v>57.159199999999998</v>
      </c>
      <c r="D4" s="2">
        <f>gas!D4*2.0414</f>
        <v>77.5732</v>
      </c>
    </row>
    <row r="5" spans="1:4" x14ac:dyDescent="0.2">
      <c r="A5" t="s">
        <v>3</v>
      </c>
      <c r="B5" s="2">
        <f>gas!B5*2.0414</f>
        <v>87.780199999999994</v>
      </c>
      <c r="C5" s="2">
        <f>gas!C5*2.0414</f>
        <v>193.93299999999999</v>
      </c>
      <c r="D5" s="2">
        <f>gas!D5*2.0414</f>
        <v>357.245</v>
      </c>
    </row>
    <row r="6" spans="1:4" x14ac:dyDescent="0.2">
      <c r="A6" t="s">
        <v>2</v>
      </c>
      <c r="B6" s="2">
        <f>gas!B6*2.0414</f>
        <v>132.691</v>
      </c>
      <c r="C6" s="2">
        <f>gas!C6*2.0414</f>
        <v>283.75459999999998</v>
      </c>
      <c r="D6" s="2">
        <f>gas!D6*2.0414</f>
        <v>520.55700000000002</v>
      </c>
    </row>
    <row r="7" spans="1:4" x14ac:dyDescent="0.2">
      <c r="B7" s="2"/>
      <c r="C7" s="2"/>
      <c r="D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2096-2B7F-8C4F-A3CE-D45C3BE680F1}">
  <dimension ref="A1:D3"/>
  <sheetViews>
    <sheetView tabSelected="1" workbookViewId="0">
      <selection activeCell="C3" sqref="C3"/>
    </sheetView>
  </sheetViews>
  <sheetFormatPr baseColWidth="10" defaultRowHeight="16" x14ac:dyDescent="0.2"/>
  <sheetData>
    <row r="1" spans="1:4" x14ac:dyDescent="0.2">
      <c r="B1" t="s">
        <v>5</v>
      </c>
      <c r="C1" t="s">
        <v>38</v>
      </c>
      <c r="D1" t="s">
        <v>7</v>
      </c>
    </row>
    <row r="2" spans="1:4" x14ac:dyDescent="0.2">
      <c r="A2" t="s">
        <v>26</v>
      </c>
      <c r="B2" s="8">
        <f>SUM(oil_emissions!B2:B6)</f>
        <v>1651.86</v>
      </c>
      <c r="C2" s="8">
        <f>SUM(oil_emissions!C2:C6)</f>
        <v>2675.82</v>
      </c>
      <c r="D2" s="8">
        <f>SUM(oil_emissions!D2:D6)</f>
        <v>4015.34</v>
      </c>
    </row>
    <row r="3" spans="1:4" x14ac:dyDescent="0.2">
      <c r="A3" t="s">
        <v>27</v>
      </c>
      <c r="B3" s="8">
        <f>SUM(gas_emissions!B2:B6)</f>
        <v>540.971</v>
      </c>
      <c r="C3" s="8">
        <f>SUM(gas_emissions!C2:C6)</f>
        <v>963.54079999999999</v>
      </c>
      <c r="D3" s="8">
        <f>SUM(gas_emissions!D2:D6)</f>
        <v>1506.5531999999998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79F83-3E74-7B4F-A14F-10B784F956D5}">
  <dimension ref="A1:N6"/>
  <sheetViews>
    <sheetView zoomScale="125" zoomScaleNormal="125" workbookViewId="0">
      <selection activeCell="K6" activeCellId="1" sqref="M6 K6"/>
    </sheetView>
  </sheetViews>
  <sheetFormatPr baseColWidth="10" defaultRowHeight="16" x14ac:dyDescent="0.2"/>
  <cols>
    <col min="1" max="1" width="20.33203125" customWidth="1"/>
    <col min="2" max="2" width="47.83203125" customWidth="1"/>
  </cols>
  <sheetData>
    <row r="1" spans="1:14" x14ac:dyDescent="0.2">
      <c r="C1" t="s">
        <v>8</v>
      </c>
      <c r="D1" t="s">
        <v>8</v>
      </c>
      <c r="E1" t="s">
        <v>9</v>
      </c>
      <c r="F1" t="s">
        <v>9</v>
      </c>
      <c r="G1" t="s">
        <v>8</v>
      </c>
      <c r="H1" t="s">
        <v>8</v>
      </c>
      <c r="I1" t="s">
        <v>9</v>
      </c>
      <c r="J1" t="s">
        <v>9</v>
      </c>
      <c r="K1" t="s">
        <v>8</v>
      </c>
      <c r="L1" t="s">
        <v>8</v>
      </c>
      <c r="M1" t="s">
        <v>9</v>
      </c>
      <c r="N1" t="s">
        <v>9</v>
      </c>
    </row>
    <row r="2" spans="1:14" x14ac:dyDescent="0.2">
      <c r="A2" t="s">
        <v>16</v>
      </c>
      <c r="B2" t="s">
        <v>17</v>
      </c>
      <c r="C2" t="s">
        <v>10</v>
      </c>
      <c r="D2" t="s">
        <v>12</v>
      </c>
      <c r="E2" t="s">
        <v>10</v>
      </c>
      <c r="F2" t="s">
        <v>12</v>
      </c>
      <c r="G2" t="s">
        <v>11</v>
      </c>
      <c r="H2" t="s">
        <v>13</v>
      </c>
      <c r="I2" t="s">
        <v>11</v>
      </c>
      <c r="J2" t="s">
        <v>13</v>
      </c>
      <c r="K2" t="s">
        <v>36</v>
      </c>
      <c r="L2" t="s">
        <v>37</v>
      </c>
      <c r="M2" t="s">
        <v>36</v>
      </c>
      <c r="N2" t="s">
        <v>37</v>
      </c>
    </row>
    <row r="3" spans="1:14" x14ac:dyDescent="0.2">
      <c r="A3" t="s">
        <v>31</v>
      </c>
      <c r="B3" t="s">
        <v>18</v>
      </c>
      <c r="C3">
        <v>213.2</v>
      </c>
      <c r="D3">
        <v>91.5</v>
      </c>
      <c r="E3">
        <v>305.89999999999998</v>
      </c>
      <c r="F3">
        <v>131.30000000000001</v>
      </c>
      <c r="G3">
        <v>31.9</v>
      </c>
      <c r="H3">
        <v>10.7</v>
      </c>
      <c r="I3">
        <v>43.9</v>
      </c>
      <c r="J3">
        <v>14.7</v>
      </c>
      <c r="K3">
        <f>C3+G3</f>
        <v>245.1</v>
      </c>
      <c r="L3">
        <f>D3+H3</f>
        <v>102.2</v>
      </c>
      <c r="M3">
        <f>E3+I3</f>
        <v>349.79999999999995</v>
      </c>
      <c r="N3">
        <f>F3+J3</f>
        <v>146</v>
      </c>
    </row>
    <row r="4" spans="1:14" x14ac:dyDescent="0.2">
      <c r="A4" t="s">
        <v>28</v>
      </c>
      <c r="B4" t="s">
        <v>18</v>
      </c>
      <c r="C4">
        <v>0</v>
      </c>
      <c r="D4">
        <v>3.8</v>
      </c>
      <c r="E4">
        <v>0</v>
      </c>
      <c r="F4">
        <v>6.1</v>
      </c>
      <c r="G4">
        <v>60.8</v>
      </c>
      <c r="H4">
        <v>17.100000000000001</v>
      </c>
      <c r="I4">
        <v>93</v>
      </c>
      <c r="J4">
        <v>25.9</v>
      </c>
      <c r="K4">
        <f t="shared" ref="K4:K6" si="0">C4+G4</f>
        <v>60.8</v>
      </c>
      <c r="L4">
        <f t="shared" ref="L4:L6" si="1">D4+H4</f>
        <v>20.900000000000002</v>
      </c>
      <c r="M4">
        <f t="shared" ref="M4:M6" si="2">E4+I4</f>
        <v>93</v>
      </c>
      <c r="N4">
        <f t="shared" ref="N4:N6" si="3">F4+J4</f>
        <v>32</v>
      </c>
    </row>
    <row r="5" spans="1:14" x14ac:dyDescent="0.2">
      <c r="A5" t="s">
        <v>29</v>
      </c>
      <c r="B5" t="s">
        <v>19</v>
      </c>
      <c r="C5">
        <v>210</v>
      </c>
      <c r="D5">
        <v>90.2</v>
      </c>
      <c r="E5">
        <v>210</v>
      </c>
      <c r="F5">
        <v>90.2</v>
      </c>
      <c r="G5">
        <v>11.4</v>
      </c>
      <c r="H5">
        <v>3.8</v>
      </c>
      <c r="I5">
        <v>11.4</v>
      </c>
      <c r="J5">
        <v>3.8</v>
      </c>
      <c r="K5">
        <f t="shared" si="0"/>
        <v>221.4</v>
      </c>
      <c r="L5">
        <f t="shared" si="1"/>
        <v>94</v>
      </c>
      <c r="M5">
        <f t="shared" si="2"/>
        <v>221.4</v>
      </c>
      <c r="N5">
        <f t="shared" si="3"/>
        <v>94</v>
      </c>
    </row>
    <row r="6" spans="1:14" x14ac:dyDescent="0.2">
      <c r="A6" t="s">
        <v>15</v>
      </c>
      <c r="B6" t="s">
        <v>20</v>
      </c>
      <c r="C6">
        <v>91.4</v>
      </c>
      <c r="D6">
        <v>39.200000000000003</v>
      </c>
      <c r="E6">
        <v>131.1</v>
      </c>
      <c r="F6">
        <v>56.3</v>
      </c>
      <c r="G6">
        <v>13.7</v>
      </c>
      <c r="H6">
        <v>4.5999999999999996</v>
      </c>
      <c r="I6">
        <v>18.8</v>
      </c>
      <c r="J6">
        <v>6.3</v>
      </c>
      <c r="K6">
        <f t="shared" si="0"/>
        <v>105.10000000000001</v>
      </c>
      <c r="L6">
        <f t="shared" si="1"/>
        <v>43.800000000000004</v>
      </c>
      <c r="M6">
        <f t="shared" si="2"/>
        <v>149.9</v>
      </c>
      <c r="N6">
        <f t="shared" si="3"/>
        <v>62.599999999999994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1BD2-F0EC-9649-A868-37C0EDFA1EF7}">
  <dimension ref="A1:D5"/>
  <sheetViews>
    <sheetView workbookViewId="0">
      <selection activeCell="B13" sqref="B13"/>
    </sheetView>
  </sheetViews>
  <sheetFormatPr baseColWidth="10" defaultRowHeight="16" x14ac:dyDescent="0.2"/>
  <cols>
    <col min="1" max="1" width="29.33203125" customWidth="1"/>
    <col min="2" max="2" width="50.83203125" customWidth="1"/>
  </cols>
  <sheetData>
    <row r="1" spans="1:4" x14ac:dyDescent="0.2">
      <c r="A1" t="s">
        <v>16</v>
      </c>
      <c r="B1" t="s">
        <v>17</v>
      </c>
      <c r="C1" t="s">
        <v>8</v>
      </c>
      <c r="D1" t="s">
        <v>9</v>
      </c>
    </row>
    <row r="2" spans="1:4" x14ac:dyDescent="0.2">
      <c r="A2" t="s">
        <v>31</v>
      </c>
      <c r="B2" t="s">
        <v>18</v>
      </c>
      <c r="C2">
        <v>91.5</v>
      </c>
      <c r="D2">
        <v>131.30000000000001</v>
      </c>
    </row>
    <row r="3" spans="1:4" x14ac:dyDescent="0.2">
      <c r="A3" t="s">
        <v>28</v>
      </c>
      <c r="B3" t="s">
        <v>18</v>
      </c>
      <c r="C3">
        <v>3.8</v>
      </c>
      <c r="D3">
        <v>6.1</v>
      </c>
    </row>
    <row r="4" spans="1:4" x14ac:dyDescent="0.2">
      <c r="A4" t="s">
        <v>29</v>
      </c>
      <c r="B4" t="s">
        <v>19</v>
      </c>
      <c r="C4">
        <v>90.2</v>
      </c>
      <c r="D4">
        <v>90.2</v>
      </c>
    </row>
    <row r="5" spans="1:4" x14ac:dyDescent="0.2">
      <c r="A5" t="s">
        <v>15</v>
      </c>
      <c r="B5" t="s">
        <v>19</v>
      </c>
      <c r="C5">
        <v>39.200000000000003</v>
      </c>
      <c r="D5">
        <v>56.3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3332-A5C3-B746-B9B2-5A69E86683D8}">
  <dimension ref="A1:D5"/>
  <sheetViews>
    <sheetView workbookViewId="0">
      <selection activeCell="B13" sqref="B13"/>
    </sheetView>
  </sheetViews>
  <sheetFormatPr baseColWidth="10" defaultRowHeight="16" x14ac:dyDescent="0.2"/>
  <cols>
    <col min="2" max="2" width="61.6640625" customWidth="1"/>
  </cols>
  <sheetData>
    <row r="1" spans="1:4" x14ac:dyDescent="0.2">
      <c r="A1" t="s">
        <v>16</v>
      </c>
      <c r="B1" t="s">
        <v>17</v>
      </c>
      <c r="C1" t="s">
        <v>8</v>
      </c>
      <c r="D1" t="s">
        <v>9</v>
      </c>
    </row>
    <row r="2" spans="1:4" x14ac:dyDescent="0.2">
      <c r="A2" t="s">
        <v>31</v>
      </c>
      <c r="B2" t="s">
        <v>18</v>
      </c>
      <c r="C2">
        <v>10.7</v>
      </c>
      <c r="D2">
        <v>14.7</v>
      </c>
    </row>
    <row r="3" spans="1:4" x14ac:dyDescent="0.2">
      <c r="A3" t="s">
        <v>28</v>
      </c>
      <c r="B3" t="s">
        <v>18</v>
      </c>
      <c r="C3">
        <v>17.100000000000001</v>
      </c>
      <c r="D3">
        <v>25.9</v>
      </c>
    </row>
    <row r="4" spans="1:4" x14ac:dyDescent="0.2">
      <c r="A4" t="s">
        <v>29</v>
      </c>
      <c r="B4" t="s">
        <v>19</v>
      </c>
      <c r="C4">
        <v>3.8</v>
      </c>
      <c r="D4">
        <v>3.8</v>
      </c>
    </row>
    <row r="5" spans="1:4" x14ac:dyDescent="0.2">
      <c r="A5" t="s">
        <v>15</v>
      </c>
      <c r="B5" t="s">
        <v>19</v>
      </c>
      <c r="C5">
        <v>4.5999999999999996</v>
      </c>
      <c r="D5">
        <v>6.3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6A11-56D3-6A4C-9A6C-9C78B592C28E}">
  <dimension ref="A1:Q14"/>
  <sheetViews>
    <sheetView workbookViewId="0">
      <selection activeCell="F40" sqref="F40"/>
    </sheetView>
  </sheetViews>
  <sheetFormatPr baseColWidth="10" defaultRowHeight="16" x14ac:dyDescent="0.2"/>
  <cols>
    <col min="2" max="2" width="31.33203125" customWidth="1"/>
    <col min="3" max="3" width="22.1640625" customWidth="1"/>
    <col min="4" max="9" width="30.83203125" customWidth="1"/>
    <col min="10" max="10" width="31.33203125" bestFit="1" customWidth="1"/>
    <col min="11" max="11" width="29.33203125" bestFit="1" customWidth="1"/>
    <col min="12" max="12" width="31.33203125" bestFit="1" customWidth="1"/>
    <col min="13" max="13" width="29.33203125" bestFit="1" customWidth="1"/>
    <col min="14" max="14" width="31.33203125" bestFit="1" customWidth="1"/>
    <col min="15" max="15" width="29.33203125" bestFit="1" customWidth="1"/>
    <col min="16" max="16" width="31.33203125" bestFit="1" customWidth="1"/>
    <col min="17" max="17" width="29.33203125" bestFit="1" customWidth="1"/>
  </cols>
  <sheetData>
    <row r="1" spans="1:17" x14ac:dyDescent="0.2">
      <c r="A1" s="4"/>
      <c r="B1" s="4" t="s">
        <v>21</v>
      </c>
      <c r="C1" s="4" t="s">
        <v>17</v>
      </c>
      <c r="D1" s="4" t="s">
        <v>22</v>
      </c>
      <c r="E1" s="4" t="s">
        <v>17</v>
      </c>
      <c r="F1" s="4" t="s">
        <v>23</v>
      </c>
      <c r="G1" s="4" t="s">
        <v>17</v>
      </c>
      <c r="H1" s="4" t="s">
        <v>24</v>
      </c>
      <c r="I1" s="4" t="s">
        <v>17</v>
      </c>
      <c r="J1" s="4" t="s">
        <v>32</v>
      </c>
      <c r="K1" s="4" t="s">
        <v>17</v>
      </c>
      <c r="L1" s="4" t="s">
        <v>33</v>
      </c>
      <c r="M1" s="4" t="s">
        <v>17</v>
      </c>
      <c r="N1" s="4" t="s">
        <v>34</v>
      </c>
      <c r="O1" s="4" t="s">
        <v>17</v>
      </c>
      <c r="P1" s="4" t="s">
        <v>35</v>
      </c>
      <c r="Q1" s="4" t="s">
        <v>17</v>
      </c>
    </row>
    <row r="2" spans="1:17" x14ac:dyDescent="0.2">
      <c r="A2" s="4">
        <v>1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5" t="s">
        <v>4</v>
      </c>
      <c r="L2" s="5" t="s">
        <v>4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4</v>
      </c>
    </row>
    <row r="3" spans="1:17" x14ac:dyDescent="0.2">
      <c r="A3" s="4">
        <v>2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5" t="s">
        <v>0</v>
      </c>
      <c r="H3" s="5" t="s">
        <v>0</v>
      </c>
      <c r="I3" s="5" t="s">
        <v>0</v>
      </c>
      <c r="J3" s="6" t="s">
        <v>14</v>
      </c>
      <c r="K3" s="5" t="s">
        <v>4</v>
      </c>
      <c r="L3" s="6" t="s">
        <v>28</v>
      </c>
      <c r="M3" s="5" t="s">
        <v>4</v>
      </c>
      <c r="N3" s="6" t="s">
        <v>14</v>
      </c>
      <c r="O3" s="5" t="s">
        <v>4</v>
      </c>
      <c r="P3" s="6" t="s">
        <v>28</v>
      </c>
      <c r="Q3" s="5" t="s">
        <v>4</v>
      </c>
    </row>
    <row r="4" spans="1:17" x14ac:dyDescent="0.2">
      <c r="A4" s="4">
        <v>3</v>
      </c>
      <c r="B4" s="5" t="s">
        <v>1</v>
      </c>
      <c r="C4" s="5" t="s">
        <v>1</v>
      </c>
      <c r="D4" s="5" t="s">
        <v>1</v>
      </c>
      <c r="E4" s="5" t="s">
        <v>1</v>
      </c>
      <c r="F4" s="5" t="s">
        <v>14</v>
      </c>
      <c r="G4" s="5" t="s">
        <v>1</v>
      </c>
      <c r="H4" s="6" t="s">
        <v>28</v>
      </c>
      <c r="I4" s="5" t="s">
        <v>1</v>
      </c>
      <c r="J4" s="6" t="s">
        <v>28</v>
      </c>
      <c r="K4" s="5" t="s">
        <v>4</v>
      </c>
      <c r="L4" s="6" t="s">
        <v>14</v>
      </c>
      <c r="M4" s="5" t="s">
        <v>4</v>
      </c>
      <c r="N4" s="6" t="s">
        <v>28</v>
      </c>
      <c r="O4" s="5" t="s">
        <v>4</v>
      </c>
      <c r="P4" s="6" t="s">
        <v>14</v>
      </c>
      <c r="Q4" s="5" t="s">
        <v>4</v>
      </c>
    </row>
    <row r="5" spans="1:17" x14ac:dyDescent="0.2">
      <c r="A5" s="4">
        <v>4</v>
      </c>
      <c r="B5" s="5" t="s">
        <v>14</v>
      </c>
      <c r="C5" s="5" t="s">
        <v>1</v>
      </c>
      <c r="D5" s="6" t="s">
        <v>28</v>
      </c>
      <c r="E5" s="5" t="s">
        <v>1</v>
      </c>
      <c r="F5" s="5" t="s">
        <v>28</v>
      </c>
      <c r="G5" s="5" t="s">
        <v>1</v>
      </c>
      <c r="H5" s="6" t="s">
        <v>14</v>
      </c>
      <c r="I5" s="5" t="s">
        <v>1</v>
      </c>
      <c r="J5" s="5" t="s">
        <v>0</v>
      </c>
      <c r="K5" s="5" t="s">
        <v>0</v>
      </c>
      <c r="L5" s="5" t="s">
        <v>0</v>
      </c>
      <c r="M5" s="5" t="s">
        <v>0</v>
      </c>
      <c r="N5" s="5" t="s">
        <v>0</v>
      </c>
      <c r="O5" s="5" t="s">
        <v>0</v>
      </c>
      <c r="P5" s="5" t="s">
        <v>0</v>
      </c>
      <c r="Q5" s="5" t="s">
        <v>0</v>
      </c>
    </row>
    <row r="6" spans="1:17" x14ac:dyDescent="0.2">
      <c r="A6" s="4">
        <v>5</v>
      </c>
      <c r="B6" s="5" t="s">
        <v>28</v>
      </c>
      <c r="C6" s="5" t="s">
        <v>1</v>
      </c>
      <c r="D6" s="6" t="s">
        <v>14</v>
      </c>
      <c r="E6" s="5" t="s">
        <v>1</v>
      </c>
      <c r="F6" s="5" t="s">
        <v>29</v>
      </c>
      <c r="G6" s="5" t="s">
        <v>1</v>
      </c>
      <c r="H6" s="5" t="s">
        <v>29</v>
      </c>
      <c r="I6" s="5" t="s">
        <v>1</v>
      </c>
      <c r="J6" s="5" t="s">
        <v>1</v>
      </c>
      <c r="K6" s="5" t="s">
        <v>1</v>
      </c>
      <c r="L6" s="5" t="s">
        <v>1</v>
      </c>
      <c r="M6" s="5" t="s">
        <v>1</v>
      </c>
      <c r="N6" s="5" t="s">
        <v>29</v>
      </c>
      <c r="O6" s="5" t="s">
        <v>1</v>
      </c>
      <c r="P6" s="5" t="s">
        <v>29</v>
      </c>
      <c r="Q6" s="5" t="s">
        <v>1</v>
      </c>
    </row>
    <row r="7" spans="1:17" x14ac:dyDescent="0.2">
      <c r="A7" s="4">
        <v>6</v>
      </c>
      <c r="B7" s="5" t="s">
        <v>29</v>
      </c>
      <c r="C7" s="5" t="s">
        <v>1</v>
      </c>
      <c r="D7" s="5" t="s">
        <v>29</v>
      </c>
      <c r="E7" s="5" t="s">
        <v>1</v>
      </c>
      <c r="F7" s="5" t="s">
        <v>30</v>
      </c>
      <c r="G7" s="5" t="s">
        <v>1</v>
      </c>
      <c r="H7" s="5" t="s">
        <v>30</v>
      </c>
      <c r="I7" s="5" t="s">
        <v>1</v>
      </c>
      <c r="J7" s="5" t="s">
        <v>29</v>
      </c>
      <c r="K7" s="5" t="s">
        <v>1</v>
      </c>
      <c r="L7" s="5" t="s">
        <v>29</v>
      </c>
      <c r="M7" s="5" t="s">
        <v>1</v>
      </c>
      <c r="N7" s="5" t="s">
        <v>30</v>
      </c>
      <c r="O7" s="5" t="s">
        <v>1</v>
      </c>
      <c r="P7" s="5" t="s">
        <v>30</v>
      </c>
      <c r="Q7" s="5" t="s">
        <v>1</v>
      </c>
    </row>
    <row r="8" spans="1:17" x14ac:dyDescent="0.2">
      <c r="A8" s="4">
        <v>7</v>
      </c>
      <c r="B8" s="5" t="s">
        <v>30</v>
      </c>
      <c r="C8" s="5" t="s">
        <v>1</v>
      </c>
      <c r="D8" s="5" t="s">
        <v>30</v>
      </c>
      <c r="E8" s="5" t="s">
        <v>1</v>
      </c>
      <c r="F8" s="5" t="s">
        <v>1</v>
      </c>
      <c r="G8" s="5" t="s">
        <v>1</v>
      </c>
      <c r="H8" s="5" t="s">
        <v>1</v>
      </c>
      <c r="I8" s="5" t="s">
        <v>1</v>
      </c>
      <c r="J8" s="5" t="s">
        <v>30</v>
      </c>
      <c r="K8" s="5" t="s">
        <v>1</v>
      </c>
      <c r="L8" s="5" t="s">
        <v>30</v>
      </c>
      <c r="M8" s="5" t="s">
        <v>1</v>
      </c>
      <c r="N8" s="5" t="s">
        <v>1</v>
      </c>
      <c r="O8" s="5" t="s">
        <v>1</v>
      </c>
      <c r="P8" s="5" t="s">
        <v>1</v>
      </c>
      <c r="Q8" s="5" t="s">
        <v>1</v>
      </c>
    </row>
    <row r="9" spans="1:17" x14ac:dyDescent="0.2">
      <c r="A9" s="4">
        <v>8</v>
      </c>
      <c r="B9" s="5" t="s">
        <v>3</v>
      </c>
      <c r="C9" s="5" t="s">
        <v>3</v>
      </c>
      <c r="D9" s="5" t="s">
        <v>3</v>
      </c>
      <c r="E9" s="5" t="s">
        <v>3</v>
      </c>
      <c r="F9" s="5" t="s">
        <v>3</v>
      </c>
      <c r="G9" s="5" t="s">
        <v>3</v>
      </c>
      <c r="H9" s="5" t="s">
        <v>3</v>
      </c>
      <c r="I9" s="5" t="s">
        <v>3</v>
      </c>
      <c r="J9" s="5" t="s">
        <v>3</v>
      </c>
      <c r="K9" s="5" t="s">
        <v>3</v>
      </c>
      <c r="L9" s="5" t="s">
        <v>3</v>
      </c>
      <c r="M9" s="5" t="s">
        <v>3</v>
      </c>
      <c r="N9" s="5" t="s">
        <v>3</v>
      </c>
      <c r="O9" s="5" t="s">
        <v>3</v>
      </c>
      <c r="P9" s="5" t="s">
        <v>3</v>
      </c>
      <c r="Q9" s="5" t="s">
        <v>3</v>
      </c>
    </row>
    <row r="10" spans="1:17" x14ac:dyDescent="0.2">
      <c r="A10" s="4">
        <v>9</v>
      </c>
      <c r="B10" s="5" t="s">
        <v>2</v>
      </c>
      <c r="C10" s="5" t="s">
        <v>3</v>
      </c>
      <c r="D10" s="5" t="s">
        <v>2</v>
      </c>
      <c r="E10" s="5" t="s">
        <v>3</v>
      </c>
      <c r="F10" s="5" t="s">
        <v>2</v>
      </c>
      <c r="G10" s="5" t="s">
        <v>3</v>
      </c>
      <c r="H10" s="5" t="s">
        <v>2</v>
      </c>
      <c r="I10" s="5" t="s">
        <v>3</v>
      </c>
      <c r="J10" s="5" t="s">
        <v>2</v>
      </c>
      <c r="K10" s="5" t="s">
        <v>3</v>
      </c>
      <c r="L10" s="5" t="s">
        <v>2</v>
      </c>
      <c r="M10" s="5" t="s">
        <v>3</v>
      </c>
      <c r="N10" s="5" t="s">
        <v>2</v>
      </c>
      <c r="O10" s="5" t="s">
        <v>3</v>
      </c>
      <c r="P10" s="5" t="s">
        <v>2</v>
      </c>
      <c r="Q10" s="5" t="s">
        <v>3</v>
      </c>
    </row>
    <row r="13" spans="1:17" x14ac:dyDescent="0.2">
      <c r="A13" s="7"/>
      <c r="B13" s="1"/>
      <c r="C13" s="1"/>
    </row>
    <row r="14" spans="1:17" x14ac:dyDescent="0.2">
      <c r="A14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21B9-D99D-7B4C-A820-2F682F4D4CA5}">
  <dimension ref="A1:C2"/>
  <sheetViews>
    <sheetView workbookViewId="0">
      <selection activeCell="C2" sqref="C2"/>
    </sheetView>
  </sheetViews>
  <sheetFormatPr baseColWidth="10" defaultRowHeight="16" x14ac:dyDescent="0.2"/>
  <sheetData>
    <row r="1" spans="1:3" x14ac:dyDescent="0.2">
      <c r="B1" t="s">
        <v>26</v>
      </c>
      <c r="C1" t="s">
        <v>27</v>
      </c>
    </row>
    <row r="2" spans="1:3" x14ac:dyDescent="0.2">
      <c r="A2" t="s">
        <v>25</v>
      </c>
      <c r="B2">
        <v>3.22</v>
      </c>
      <c r="C2">
        <v>2.0413999999999999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oil</vt:lpstr>
      <vt:lpstr>gas</vt:lpstr>
      <vt:lpstr>oil_emissions</vt:lpstr>
      <vt:lpstr>gas_emissions</vt:lpstr>
      <vt:lpstr>emissions_totals</vt:lpstr>
      <vt:lpstr>fields_of_interest</vt:lpstr>
      <vt:lpstr>foi_oil_emissions</vt:lpstr>
      <vt:lpstr>foi_gas_emissions</vt:lpstr>
      <vt:lpstr>test_subjects</vt:lpstr>
      <vt:lpstr>emissions_factors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Horen Greenford</dc:creator>
  <cp:lastModifiedBy>Daniel Horen Greenford</cp:lastModifiedBy>
  <dcterms:created xsi:type="dcterms:W3CDTF">2026-02-11T17:37:55Z</dcterms:created>
  <dcterms:modified xsi:type="dcterms:W3CDTF">2026-04-02T15:19:38Z</dcterms:modified>
</cp:coreProperties>
</file>